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preencher" sheetId="1" state="visible" r:id="rId3"/>
    <sheet name="Tabela de preços" sheetId="2" state="visible" r:id="rId4"/>
  </sheets>
  <definedNames>
    <definedName function="false" hidden="true" localSheetId="1" name="_xlnm._FilterDatabase" vbProcedure="false">'Tabela de preços'!$A$4:$J$61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Valores já preenchidos foram informados pelo Phelippe na conversa de 28/10/2026.</t>
        </r>
      </text>
    </comment>
    <comment ref="E5" authorId="0">
      <text>
        <r>
          <rPr>
            <sz val="10"/>
            <rFont val="Arial"/>
            <family val="2"/>
          </rPr>
          <t xml:space="preserve">Avaliação: pagamento à vista (1x), sem desconto no Pix.</t>
        </r>
      </text>
    </comment>
  </commentList>
</comments>
</file>

<file path=xl/sharedStrings.xml><?xml version="1.0" encoding="utf-8"?>
<sst xmlns="http://schemas.openxmlformats.org/spreadsheetml/2006/main" count="225" uniqueCount="114">
  <si>
    <t xml:space="preserve">Tabela de preços ORYA · como preencher</t>
  </si>
  <si>
    <t xml:space="preserve">Desconto padrão no Pix/dinheiro</t>
  </si>
  <si>
    <t xml:space="preserve">Usado em todas as linhas da tabela, a não ser que você troque o desconto na própria linha.</t>
  </si>
  <si>
    <t xml:space="preserve">Parcelas sem juros (padrão)</t>
  </si>
  <si>
    <t xml:space="preserve">Número padrão de parcelas no cartão.</t>
  </si>
  <si>
    <t xml:space="preserve">O QUE PREENCHER (aba 'Tabela de preços'):</t>
  </si>
  <si>
    <t xml:space="preserve">• Células AMARELAS são para você preencher: Valor cheio, Parcelas, Desconto Pix (se for diferente do padrão) e a coluna 'O bot pode informar?'.</t>
  </si>
  <si>
    <t xml:space="preserve">• Texto AZUL = valor digitado (entrada). Texto PRETO = fórmula calculada sozinha (não precisa mexer).</t>
  </si>
  <si>
    <t xml:space="preserve">• 'Valor da parcela' e 'Valor no Pix/dinheiro' são calculados automaticamente.</t>
  </si>
  <si>
    <t xml:space="preserve">• 'O bot pode informar?': Sim = a Aurora passa o valor na conversa; Só na avaliação = ela não fala valor e convida para a avaliação.</t>
  </si>
  <si>
    <t xml:space="preserve">• Procedimento que vocês não fazem: escreva 'Não fazemos' na coluna 'O bot pode informar?' (ou apague a linha).</t>
  </si>
  <si>
    <t xml:space="preserve">• Pode acrescentar linhas no final de cada categoria, copiando uma linha de cima (assim as fórmulas vêm junto).</t>
  </si>
  <si>
    <t xml:space="preserve">• As linhas já preenchidas vieram do que você me passou na conversa (28/10/2026). Confira.</t>
  </si>
  <si>
    <t xml:space="preserve">Quando terminar, me devolva o arquivo que eu atualizo o bot.</t>
  </si>
  <si>
    <t xml:space="preserve">Tabela de preços ORYA</t>
  </si>
  <si>
    <t xml:space="preserve">Amarelo = preencher. Azul = digitado. Preto = calculado. Veja a aba 'Como preencher'.</t>
  </si>
  <si>
    <t xml:space="preserve">Categoria</t>
  </si>
  <si>
    <t xml:space="preserve">Procedimento</t>
  </si>
  <si>
    <t xml:space="preserve">Unidade de venda</t>
  </si>
  <si>
    <t xml:space="preserve">Valor cheio (R$)</t>
  </si>
  <si>
    <t xml:space="preserve">Parcelas sem juros</t>
  </si>
  <si>
    <t xml:space="preserve">Valor da parcela (R$)</t>
  </si>
  <si>
    <t xml:space="preserve">Desconto Pix/dinheiro</t>
  </si>
  <si>
    <t xml:space="preserve">Valor no Pix/dinheiro (R$)</t>
  </si>
  <si>
    <t xml:space="preserve">O bot pode informar?</t>
  </si>
  <si>
    <t xml:space="preserve">Observações (sessões indicadas, o que inclui, pacote)</t>
  </si>
  <si>
    <t xml:space="preserve">Avaliação</t>
  </si>
  <si>
    <t xml:space="preserve">Avaliação com a Dra. Danielly</t>
  </si>
  <si>
    <t xml:space="preserve">consulta</t>
  </si>
  <si>
    <t xml:space="preserve">Sim</t>
  </si>
  <si>
    <t xml:space="preserve">Paga antecipada (Pix ou link de cartão). 100% abatida no procedimento fechado; falta não devolve.</t>
  </si>
  <si>
    <t xml:space="preserve">Toxina botulínica</t>
  </si>
  <si>
    <t xml:space="preserve">Botox terço superior</t>
  </si>
  <si>
    <t xml:space="preserve">aplicação</t>
  </si>
  <si>
    <t xml:space="preserve">Testa, glabela e pés de galinha. Retorno em 15 dias incluso.</t>
  </si>
  <si>
    <t xml:space="preserve">Botox face completa</t>
  </si>
  <si>
    <t xml:space="preserve">Retorno em 15 dias incluso.</t>
  </si>
  <si>
    <t xml:space="preserve">Plano Olhar Leve Anual (botox terço superior)</t>
  </si>
  <si>
    <t xml:space="preserve">plano 4 aplicações/12 meses</t>
  </si>
  <si>
    <t xml:space="preserve">30% menor que 4 avulsas. Mesmo valor em qualquer forma de pagamento.</t>
  </si>
  <si>
    <t xml:space="preserve">Plano anual face completa</t>
  </si>
  <si>
    <t xml:space="preserve">plano</t>
  </si>
  <si>
    <t xml:space="preserve">Só na avaliação</t>
  </si>
  <si>
    <t xml:space="preserve">Depende da avaliação da Dra.</t>
  </si>
  <si>
    <t xml:space="preserve">Botox para bruxismo (masseter)</t>
  </si>
  <si>
    <t xml:space="preserve">Botox para sorriso gengival</t>
  </si>
  <si>
    <t xml:space="preserve">Botox pescoço (Nefertiti)</t>
  </si>
  <si>
    <t xml:space="preserve">Botox para hiperidrose (suor axilar)</t>
  </si>
  <si>
    <t xml:space="preserve">Preenchimento e harmonização</t>
  </si>
  <si>
    <t xml:space="preserve">Preenchimento labial 1 ml</t>
  </si>
  <si>
    <t xml:space="preserve">1 ml</t>
  </si>
  <si>
    <t xml:space="preserve">Harmonização facial</t>
  </si>
  <si>
    <t xml:space="preserve">plano personalizado</t>
  </si>
  <si>
    <t xml:space="preserve">Valor só após avaliação.</t>
  </si>
  <si>
    <t xml:space="preserve">Preenchimento malar (maçãs do rosto)</t>
  </si>
  <si>
    <t xml:space="preserve">por ml</t>
  </si>
  <si>
    <t xml:space="preserve">Rinomodelação (nariz)</t>
  </si>
  <si>
    <t xml:space="preserve">procedimento</t>
  </si>
  <si>
    <t xml:space="preserve">Preenchimento de olheiras</t>
  </si>
  <si>
    <t xml:space="preserve">Preenchimento de mandíbula</t>
  </si>
  <si>
    <t xml:space="preserve">Preenchimento de mento (queixo)</t>
  </si>
  <si>
    <t xml:space="preserve">Preenchimento de sulco nasogeniano (bigode chinês)</t>
  </si>
  <si>
    <t xml:space="preserve">Preenchimento de têmporas</t>
  </si>
  <si>
    <t xml:space="preserve">Hidragloss (hidratação labial)</t>
  </si>
  <si>
    <t xml:space="preserve">sessão</t>
  </si>
  <si>
    <t xml:space="preserve">Bioestimuladores e qualidade de pele</t>
  </si>
  <si>
    <t xml:space="preserve">Bioestimulador de colágeno facial (Sculptra / Radiesse)</t>
  </si>
  <si>
    <t xml:space="preserve">frasco/seringa</t>
  </si>
  <si>
    <t xml:space="preserve">Bioestimulador corporal</t>
  </si>
  <si>
    <t xml:space="preserve">frasco</t>
  </si>
  <si>
    <t xml:space="preserve">Skinbooster</t>
  </si>
  <si>
    <t xml:space="preserve">Profhilo</t>
  </si>
  <si>
    <t xml:space="preserve">Fios de PDO lisos</t>
  </si>
  <si>
    <t xml:space="preserve">Fios de PDO espiculados (sustentação)</t>
  </si>
  <si>
    <t xml:space="preserve">Lipo de papada enzimática</t>
  </si>
  <si>
    <t xml:space="preserve">Quantas sessões em média?</t>
  </si>
  <si>
    <t xml:space="preserve">Enzimas faciais</t>
  </si>
  <si>
    <t xml:space="preserve">Tecnologias faciais</t>
  </si>
  <si>
    <t xml:space="preserve">Ultraformer face</t>
  </si>
  <si>
    <t xml:space="preserve">Ultraformer papada</t>
  </si>
  <si>
    <t xml:space="preserve">Ultraformer olhos/pálpebras</t>
  </si>
  <si>
    <t xml:space="preserve">Hipro</t>
  </si>
  <si>
    <t xml:space="preserve">Lavieen</t>
  </si>
  <si>
    <t xml:space="preserve">Blefaroplastia sem corte (jato de plasma)</t>
  </si>
  <si>
    <t xml:space="preserve">3 sessões</t>
  </si>
  <si>
    <t xml:space="preserve">Radiofrequência facial</t>
  </si>
  <si>
    <t xml:space="preserve">Pele</t>
  </si>
  <si>
    <t xml:space="preserve">Limpeza de pele</t>
  </si>
  <si>
    <t xml:space="preserve">Microagulhamento</t>
  </si>
  <si>
    <t xml:space="preserve">Peeling químico</t>
  </si>
  <si>
    <t xml:space="preserve">Peeling de diamante</t>
  </si>
  <si>
    <t xml:space="preserve">Dermaplaning</t>
  </si>
  <si>
    <t xml:space="preserve">Hidratação facial / LED</t>
  </si>
  <si>
    <t xml:space="preserve">Corporais</t>
  </si>
  <si>
    <t xml:space="preserve">Drenagem linfática</t>
  </si>
  <si>
    <t xml:space="preserve">Drenagem linfática · pacote 5 sessões</t>
  </si>
  <si>
    <t xml:space="preserve">pacote</t>
  </si>
  <si>
    <t xml:space="preserve">5 avulsas = R$ 1.145.</t>
  </si>
  <si>
    <t xml:space="preserve">Massagem modeladora</t>
  </si>
  <si>
    <t xml:space="preserve">Harmonização glútea</t>
  </si>
  <si>
    <t xml:space="preserve">Enzimas corporais (gordura localizada)</t>
  </si>
  <si>
    <t xml:space="preserve">PEIM (vasinhos)</t>
  </si>
  <si>
    <t xml:space="preserve">Radiofrequência corporal</t>
  </si>
  <si>
    <t xml:space="preserve">Protocolo de estrias</t>
  </si>
  <si>
    <t xml:space="preserve">Protocolo de celulite</t>
  </si>
  <si>
    <t xml:space="preserve">Protocolo de flacidez corporal</t>
  </si>
  <si>
    <t xml:space="preserve">Carboxiterapia</t>
  </si>
  <si>
    <t xml:space="preserve">Depilação a laser</t>
  </si>
  <si>
    <t xml:space="preserve">Depilação a laser · axilas</t>
  </si>
  <si>
    <t xml:space="preserve">Depilação a laser · buço</t>
  </si>
  <si>
    <t xml:space="preserve">Depilação a laser · virilha</t>
  </si>
  <si>
    <t xml:space="preserve">Depilação a laser · meia perna</t>
  </si>
  <si>
    <t xml:space="preserve">Depilação a laser · perna inteira</t>
  </si>
  <si>
    <t xml:space="preserve">Depilação a laser · corpo inteiro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</si>
</sst>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&quot;R$ &quot;#,##0.00;&quot;-R$ &quot;#,##0.00;\-"/>
    <numFmt numFmtId="167" formatCode="0"/>
    <numFmt numFmtId="168" formatCode="&quot;R$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A4E4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F64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B5E4E"/>
        <bgColor rgb="FF6F645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2"/>
      </left>
      <right style="thin">
        <color rgb="FFD9CFC2"/>
      </right>
      <top style="thin">
        <color rgb="FFD9CFC2"/>
      </top>
      <bottom style="thin">
        <color rgb="FFD9CF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6B5E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2"/>
      <rgbColor rgb="FF6B5E4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4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A4E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0.1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10</v>
      </c>
      <c r="C4" s="4" t="s">
        <v>4</v>
      </c>
    </row>
    <row r="6" customFormat="false" ht="15" hidden="false" customHeight="false" outlineLevel="0" collapsed="false">
      <c r="A6" s="6"/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6" t="s">
        <v>6</v>
      </c>
    </row>
    <row r="9" customFormat="false" ht="15" hidden="false" customHeight="false" outlineLevel="0" collapsed="false">
      <c r="A9" s="6" t="s">
        <v>7</v>
      </c>
    </row>
    <row r="10" customFormat="false" ht="15" hidden="false" customHeight="false" outlineLevel="0" collapsed="false">
      <c r="A10" s="6" t="s">
        <v>8</v>
      </c>
    </row>
    <row r="11" customFormat="false" ht="15" hidden="false" customHeight="false" outlineLevel="0" collapsed="false">
      <c r="A11" s="6" t="s">
        <v>9</v>
      </c>
    </row>
    <row r="12" customFormat="false" ht="15" hidden="false" customHeight="false" outlineLevel="0" collapsed="false">
      <c r="A12" s="6" t="s">
        <v>10</v>
      </c>
    </row>
    <row r="13" customFormat="false" ht="15" hidden="false" customHeight="false" outlineLevel="0" collapsed="false">
      <c r="A13" s="6" t="s">
        <v>11</v>
      </c>
    </row>
    <row r="14" customFormat="false" ht="15" hidden="false" customHeight="false" outlineLevel="0" collapsed="false">
      <c r="A14" s="6" t="s">
        <v>12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9" min="8" style="0" width="18"/>
    <col collapsed="false" customWidth="true" hidden="false" outlineLevel="0" max="10" min="10" style="0" width="54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7" t="s">
        <v>15</v>
      </c>
    </row>
    <row r="4" customFormat="false" ht="33.75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</row>
    <row r="5" customFormat="false" ht="26.85" hidden="false" customHeight="false" outlineLevel="0" collapsed="false">
      <c r="A5" s="9" t="s">
        <v>26</v>
      </c>
      <c r="B5" s="10" t="s">
        <v>27</v>
      </c>
      <c r="C5" s="11" t="s">
        <v>28</v>
      </c>
      <c r="D5" s="12" t="n">
        <v>200</v>
      </c>
      <c r="E5" s="13" t="n">
        <v>1</v>
      </c>
      <c r="F5" s="14" t="n">
        <f aca="false">IF(OR(D5="",E5=0),"",D5/E5)</f>
        <v>200</v>
      </c>
      <c r="G5" s="15" t="n">
        <v>0</v>
      </c>
      <c r="H5" s="14" t="n">
        <f aca="false">IF(D5="","",D5*(1-G5))</f>
        <v>200</v>
      </c>
      <c r="I5" s="16" t="s">
        <v>29</v>
      </c>
      <c r="J5" s="17" t="s">
        <v>30</v>
      </c>
    </row>
    <row r="6" customFormat="false" ht="26.85" hidden="false" customHeight="false" outlineLevel="0" collapsed="false">
      <c r="A6" s="9" t="s">
        <v>31</v>
      </c>
      <c r="B6" s="10" t="s">
        <v>32</v>
      </c>
      <c r="C6" s="11" t="s">
        <v>33</v>
      </c>
      <c r="D6" s="12" t="n">
        <v>1100</v>
      </c>
      <c r="E6" s="18" t="n">
        <f aca="false">'Como preencher'!$B$4</f>
        <v>10</v>
      </c>
      <c r="F6" s="14" t="n">
        <f aca="false">IF(OR(D6="",E6=0),"",D6/E6)</f>
        <v>110</v>
      </c>
      <c r="G6" s="19" t="n">
        <f aca="false">'Como preencher'!$B$3</f>
        <v>0.1</v>
      </c>
      <c r="H6" s="14" t="n">
        <f aca="false">IF(D6="","",D6*(1-G6))</f>
        <v>990</v>
      </c>
      <c r="I6" s="16" t="s">
        <v>29</v>
      </c>
      <c r="J6" s="17" t="s">
        <v>34</v>
      </c>
    </row>
    <row r="7" customFormat="false" ht="15" hidden="false" customHeight="false" outlineLevel="0" collapsed="false">
      <c r="A7" s="9" t="s">
        <v>31</v>
      </c>
      <c r="B7" s="10" t="s">
        <v>35</v>
      </c>
      <c r="C7" s="11" t="s">
        <v>33</v>
      </c>
      <c r="D7" s="12" t="n">
        <v>1400</v>
      </c>
      <c r="E7" s="18" t="n">
        <f aca="false">'Como preencher'!$B$4</f>
        <v>10</v>
      </c>
      <c r="F7" s="14" t="n">
        <f aca="false">IF(OR(D7="",E7=0),"",D7/E7)</f>
        <v>140</v>
      </c>
      <c r="G7" s="19" t="n">
        <f aca="false">'Como preencher'!$B$3</f>
        <v>0.1</v>
      </c>
      <c r="H7" s="14" t="n">
        <f aca="false">IF(D7="","",D7*(1-G7))</f>
        <v>1260</v>
      </c>
      <c r="I7" s="16" t="s">
        <v>29</v>
      </c>
      <c r="J7" s="17" t="s">
        <v>36</v>
      </c>
    </row>
    <row r="8" customFormat="false" ht="26.85" hidden="false" customHeight="false" outlineLevel="0" collapsed="false">
      <c r="A8" s="9" t="s">
        <v>31</v>
      </c>
      <c r="B8" s="10" t="s">
        <v>37</v>
      </c>
      <c r="C8" s="11" t="s">
        <v>38</v>
      </c>
      <c r="D8" s="12" t="n">
        <v>3080</v>
      </c>
      <c r="E8" s="18" t="n">
        <f aca="false">'Como preencher'!$B$4</f>
        <v>10</v>
      </c>
      <c r="F8" s="14" t="n">
        <f aca="false">IF(OR(D8="",E8=0),"",D8/E8)</f>
        <v>308</v>
      </c>
      <c r="G8" s="15" t="n">
        <v>0</v>
      </c>
      <c r="H8" s="14" t="n">
        <f aca="false">IF(D8="","",D8*(1-G8))</f>
        <v>3080</v>
      </c>
      <c r="I8" s="16" t="s">
        <v>29</v>
      </c>
      <c r="J8" s="17" t="s">
        <v>39</v>
      </c>
    </row>
    <row r="9" customFormat="false" ht="15" hidden="false" customHeight="false" outlineLevel="0" collapsed="false">
      <c r="A9" s="9" t="s">
        <v>31</v>
      </c>
      <c r="B9" s="17" t="s">
        <v>40</v>
      </c>
      <c r="C9" s="11" t="s">
        <v>41</v>
      </c>
      <c r="D9" s="12"/>
      <c r="E9" s="18" t="n">
        <f aca="false">'Como preencher'!$B$4</f>
        <v>10</v>
      </c>
      <c r="F9" s="14" t="str">
        <f aca="false">IF(OR(D9="",E9=0),"",D9/E9)</f>
        <v/>
      </c>
      <c r="G9" s="19" t="n">
        <f aca="false">'Como preencher'!$B$3</f>
        <v>0.1</v>
      </c>
      <c r="H9" s="14" t="str">
        <f aca="false">IF(D9="","",D9*(1-G9))</f>
        <v/>
      </c>
      <c r="I9" s="16" t="s">
        <v>42</v>
      </c>
      <c r="J9" s="17" t="s">
        <v>43</v>
      </c>
    </row>
    <row r="10" customFormat="false" ht="15" hidden="false" customHeight="false" outlineLevel="0" collapsed="false">
      <c r="A10" s="9" t="s">
        <v>31</v>
      </c>
      <c r="B10" s="17" t="s">
        <v>44</v>
      </c>
      <c r="C10" s="11" t="s">
        <v>33</v>
      </c>
      <c r="D10" s="12"/>
      <c r="E10" s="18" t="n">
        <f aca="false">'Como preencher'!$B$4</f>
        <v>10</v>
      </c>
      <c r="F10" s="14" t="str">
        <f aca="false">IF(OR(D10="",E10=0),"",D10/E10)</f>
        <v/>
      </c>
      <c r="G10" s="19" t="n">
        <f aca="false">'Como preencher'!$B$3</f>
        <v>0.1</v>
      </c>
      <c r="H10" s="14" t="str">
        <f aca="false">IF(D10="","",D10*(1-G10))</f>
        <v/>
      </c>
      <c r="I10" s="16"/>
      <c r="J10" s="17"/>
    </row>
    <row r="11" customFormat="false" ht="15" hidden="false" customHeight="false" outlineLevel="0" collapsed="false">
      <c r="A11" s="9" t="s">
        <v>31</v>
      </c>
      <c r="B11" s="17" t="s">
        <v>45</v>
      </c>
      <c r="C11" s="11" t="s">
        <v>33</v>
      </c>
      <c r="D11" s="12"/>
      <c r="E11" s="18" t="n">
        <f aca="false">'Como preencher'!$B$4</f>
        <v>10</v>
      </c>
      <c r="F11" s="14" t="str">
        <f aca="false">IF(OR(D11="",E11=0),"",D11/E11)</f>
        <v/>
      </c>
      <c r="G11" s="19" t="n">
        <f aca="false">'Como preencher'!$B$3</f>
        <v>0.1</v>
      </c>
      <c r="H11" s="14" t="str">
        <f aca="false">IF(D11="","",D11*(1-G11))</f>
        <v/>
      </c>
      <c r="I11" s="16"/>
      <c r="J11" s="17"/>
    </row>
    <row r="12" customFormat="false" ht="15" hidden="false" customHeight="false" outlineLevel="0" collapsed="false">
      <c r="A12" s="9" t="s">
        <v>31</v>
      </c>
      <c r="B12" s="17" t="s">
        <v>46</v>
      </c>
      <c r="C12" s="11" t="s">
        <v>33</v>
      </c>
      <c r="D12" s="12"/>
      <c r="E12" s="18" t="n">
        <f aca="false">'Como preencher'!$B$4</f>
        <v>10</v>
      </c>
      <c r="F12" s="14" t="str">
        <f aca="false">IF(OR(D12="",E12=0),"",D12/E12)</f>
        <v/>
      </c>
      <c r="G12" s="19" t="n">
        <f aca="false">'Como preencher'!$B$3</f>
        <v>0.1</v>
      </c>
      <c r="H12" s="14" t="str">
        <f aca="false">IF(D12="","",D12*(1-G12))</f>
        <v/>
      </c>
      <c r="I12" s="16"/>
      <c r="J12" s="17"/>
    </row>
    <row r="13" customFormat="false" ht="15" hidden="false" customHeight="false" outlineLevel="0" collapsed="false">
      <c r="A13" s="9" t="s">
        <v>31</v>
      </c>
      <c r="B13" s="17" t="s">
        <v>47</v>
      </c>
      <c r="C13" s="11" t="s">
        <v>33</v>
      </c>
      <c r="D13" s="12"/>
      <c r="E13" s="18" t="n">
        <f aca="false">'Como preencher'!$B$4</f>
        <v>10</v>
      </c>
      <c r="F13" s="14" t="str">
        <f aca="false">IF(OR(D13="",E13=0),"",D13/E13)</f>
        <v/>
      </c>
      <c r="G13" s="19" t="n">
        <f aca="false">'Como preencher'!$B$3</f>
        <v>0.1</v>
      </c>
      <c r="H13" s="14" t="str">
        <f aca="false">IF(D13="","",D13*(1-G13))</f>
        <v/>
      </c>
      <c r="I13" s="16"/>
      <c r="J13" s="17"/>
    </row>
    <row r="14" customFormat="false" ht="15" hidden="false" customHeight="false" outlineLevel="0" collapsed="false">
      <c r="A14" s="9" t="s">
        <v>48</v>
      </c>
      <c r="B14" s="10" t="s">
        <v>49</v>
      </c>
      <c r="C14" s="11" t="s">
        <v>50</v>
      </c>
      <c r="D14" s="12" t="n">
        <v>1100</v>
      </c>
      <c r="E14" s="18" t="n">
        <f aca="false">'Como preencher'!$B$4</f>
        <v>10</v>
      </c>
      <c r="F14" s="14" t="n">
        <f aca="false">IF(OR(D14="",E14=0),"",D14/E14)</f>
        <v>110</v>
      </c>
      <c r="G14" s="19" t="n">
        <f aca="false">'Como preencher'!$B$3</f>
        <v>0.1</v>
      </c>
      <c r="H14" s="14" t="n">
        <f aca="false">IF(D14="","",D14*(1-G14))</f>
        <v>990</v>
      </c>
      <c r="I14" s="16" t="s">
        <v>29</v>
      </c>
      <c r="J14" s="17"/>
    </row>
    <row r="15" customFormat="false" ht="15" hidden="false" customHeight="false" outlineLevel="0" collapsed="false">
      <c r="A15" s="9" t="s">
        <v>48</v>
      </c>
      <c r="B15" s="17" t="s">
        <v>51</v>
      </c>
      <c r="C15" s="11" t="s">
        <v>52</v>
      </c>
      <c r="D15" s="12"/>
      <c r="E15" s="18" t="n">
        <f aca="false">'Como preencher'!$B$4</f>
        <v>10</v>
      </c>
      <c r="F15" s="14" t="str">
        <f aca="false">IF(OR(D15="",E15=0),"",D15/E15)</f>
        <v/>
      </c>
      <c r="G15" s="19" t="n">
        <f aca="false">'Como preencher'!$B$3</f>
        <v>0.1</v>
      </c>
      <c r="H15" s="14" t="str">
        <f aca="false">IF(D15="","",D15*(1-G15))</f>
        <v/>
      </c>
      <c r="I15" s="16" t="s">
        <v>42</v>
      </c>
      <c r="J15" s="17" t="s">
        <v>53</v>
      </c>
    </row>
    <row r="16" customFormat="false" ht="15" hidden="false" customHeight="false" outlineLevel="0" collapsed="false">
      <c r="A16" s="9" t="s">
        <v>48</v>
      </c>
      <c r="B16" s="17" t="s">
        <v>54</v>
      </c>
      <c r="C16" s="11" t="s">
        <v>55</v>
      </c>
      <c r="D16" s="12"/>
      <c r="E16" s="18" t="n">
        <f aca="false">'Como preencher'!$B$4</f>
        <v>10</v>
      </c>
      <c r="F16" s="14" t="str">
        <f aca="false">IF(OR(D16="",E16=0),"",D16/E16)</f>
        <v/>
      </c>
      <c r="G16" s="19" t="n">
        <f aca="false">'Como preencher'!$B$3</f>
        <v>0.1</v>
      </c>
      <c r="H16" s="14" t="str">
        <f aca="false">IF(D16="","",D16*(1-G16))</f>
        <v/>
      </c>
      <c r="I16" s="16" t="s">
        <v>42</v>
      </c>
      <c r="J16" s="17"/>
    </row>
    <row r="17" customFormat="false" ht="15" hidden="false" customHeight="false" outlineLevel="0" collapsed="false">
      <c r="A17" s="9" t="s">
        <v>48</v>
      </c>
      <c r="B17" s="17" t="s">
        <v>56</v>
      </c>
      <c r="C17" s="11" t="s">
        <v>57</v>
      </c>
      <c r="D17" s="12"/>
      <c r="E17" s="18" t="n">
        <f aca="false">'Como preencher'!$B$4</f>
        <v>10</v>
      </c>
      <c r="F17" s="14" t="str">
        <f aca="false">IF(OR(D17="",E17=0),"",D17/E17)</f>
        <v/>
      </c>
      <c r="G17" s="19" t="n">
        <f aca="false">'Como preencher'!$B$3</f>
        <v>0.1</v>
      </c>
      <c r="H17" s="14" t="str">
        <f aca="false">IF(D17="","",D17*(1-G17))</f>
        <v/>
      </c>
      <c r="I17" s="16" t="s">
        <v>42</v>
      </c>
      <c r="J17" s="17"/>
    </row>
    <row r="18" customFormat="false" ht="15" hidden="false" customHeight="false" outlineLevel="0" collapsed="false">
      <c r="A18" s="9" t="s">
        <v>48</v>
      </c>
      <c r="B18" s="17" t="s">
        <v>58</v>
      </c>
      <c r="C18" s="11" t="s">
        <v>57</v>
      </c>
      <c r="D18" s="12"/>
      <c r="E18" s="18" t="n">
        <f aca="false">'Como preencher'!$B$4</f>
        <v>10</v>
      </c>
      <c r="F18" s="14" t="str">
        <f aca="false">IF(OR(D18="",E18=0),"",D18/E18)</f>
        <v/>
      </c>
      <c r="G18" s="19" t="n">
        <f aca="false">'Como preencher'!$B$3</f>
        <v>0.1</v>
      </c>
      <c r="H18" s="14" t="str">
        <f aca="false">IF(D18="","",D18*(1-G18))</f>
        <v/>
      </c>
      <c r="I18" s="16"/>
      <c r="J18" s="17"/>
    </row>
    <row r="19" customFormat="false" ht="15" hidden="false" customHeight="false" outlineLevel="0" collapsed="false">
      <c r="A19" s="9" t="s">
        <v>48</v>
      </c>
      <c r="B19" s="17" t="s">
        <v>59</v>
      </c>
      <c r="C19" s="11" t="s">
        <v>55</v>
      </c>
      <c r="D19" s="12"/>
      <c r="E19" s="18" t="n">
        <f aca="false">'Como preencher'!$B$4</f>
        <v>10</v>
      </c>
      <c r="F19" s="14" t="str">
        <f aca="false">IF(OR(D19="",E19=0),"",D19/E19)</f>
        <v/>
      </c>
      <c r="G19" s="19" t="n">
        <f aca="false">'Como preencher'!$B$3</f>
        <v>0.1</v>
      </c>
      <c r="H19" s="14" t="str">
        <f aca="false">IF(D19="","",D19*(1-G19))</f>
        <v/>
      </c>
      <c r="I19" s="16" t="s">
        <v>42</v>
      </c>
      <c r="J19" s="17"/>
    </row>
    <row r="20" customFormat="false" ht="15" hidden="false" customHeight="false" outlineLevel="0" collapsed="false">
      <c r="A20" s="9" t="s">
        <v>48</v>
      </c>
      <c r="B20" s="17" t="s">
        <v>60</v>
      </c>
      <c r="C20" s="11" t="s">
        <v>55</v>
      </c>
      <c r="D20" s="12"/>
      <c r="E20" s="18" t="n">
        <f aca="false">'Como preencher'!$B$4</f>
        <v>10</v>
      </c>
      <c r="F20" s="14" t="str">
        <f aca="false">IF(OR(D20="",E20=0),"",D20/E20)</f>
        <v/>
      </c>
      <c r="G20" s="19" t="n">
        <f aca="false">'Como preencher'!$B$3</f>
        <v>0.1</v>
      </c>
      <c r="H20" s="14" t="str">
        <f aca="false">IF(D20="","",D20*(1-G20))</f>
        <v/>
      </c>
      <c r="I20" s="16" t="s">
        <v>42</v>
      </c>
      <c r="J20" s="17"/>
    </row>
    <row r="21" customFormat="false" ht="26.85" hidden="false" customHeight="false" outlineLevel="0" collapsed="false">
      <c r="A21" s="9" t="s">
        <v>48</v>
      </c>
      <c r="B21" s="17" t="s">
        <v>61</v>
      </c>
      <c r="C21" s="11" t="s">
        <v>55</v>
      </c>
      <c r="D21" s="12"/>
      <c r="E21" s="18" t="n">
        <f aca="false">'Como preencher'!$B$4</f>
        <v>10</v>
      </c>
      <c r="F21" s="14" t="str">
        <f aca="false">IF(OR(D21="",E21=0),"",D21/E21)</f>
        <v/>
      </c>
      <c r="G21" s="19" t="n">
        <f aca="false">'Como preencher'!$B$3</f>
        <v>0.1</v>
      </c>
      <c r="H21" s="14" t="str">
        <f aca="false">IF(D21="","",D21*(1-G21))</f>
        <v/>
      </c>
      <c r="I21" s="16"/>
      <c r="J21" s="17"/>
    </row>
    <row r="22" customFormat="false" ht="15" hidden="false" customHeight="false" outlineLevel="0" collapsed="false">
      <c r="A22" s="9" t="s">
        <v>48</v>
      </c>
      <c r="B22" s="17" t="s">
        <v>62</v>
      </c>
      <c r="C22" s="11" t="s">
        <v>55</v>
      </c>
      <c r="D22" s="12"/>
      <c r="E22" s="18" t="n">
        <f aca="false">'Como preencher'!$B$4</f>
        <v>10</v>
      </c>
      <c r="F22" s="14" t="str">
        <f aca="false">IF(OR(D22="",E22=0),"",D22/E22)</f>
        <v/>
      </c>
      <c r="G22" s="19" t="n">
        <f aca="false">'Como preencher'!$B$3</f>
        <v>0.1</v>
      </c>
      <c r="H22" s="14" t="str">
        <f aca="false">IF(D22="","",D22*(1-G22))</f>
        <v/>
      </c>
      <c r="I22" s="16"/>
      <c r="J22" s="17"/>
    </row>
    <row r="23" customFormat="false" ht="15" hidden="false" customHeight="false" outlineLevel="0" collapsed="false">
      <c r="A23" s="9" t="s">
        <v>48</v>
      </c>
      <c r="B23" s="17" t="s">
        <v>63</v>
      </c>
      <c r="C23" s="11" t="s">
        <v>64</v>
      </c>
      <c r="D23" s="12"/>
      <c r="E23" s="18" t="n">
        <f aca="false">'Como preencher'!$B$4</f>
        <v>10</v>
      </c>
      <c r="F23" s="14" t="str">
        <f aca="false">IF(OR(D23="",E23=0),"",D23/E23)</f>
        <v/>
      </c>
      <c r="G23" s="19" t="n">
        <f aca="false">'Como preencher'!$B$3</f>
        <v>0.1</v>
      </c>
      <c r="H23" s="14" t="str">
        <f aca="false">IF(D23="","",D23*(1-G23))</f>
        <v/>
      </c>
      <c r="I23" s="16"/>
      <c r="J23" s="17"/>
    </row>
    <row r="24" customFormat="false" ht="26.85" hidden="false" customHeight="false" outlineLevel="0" collapsed="false">
      <c r="A24" s="9" t="s">
        <v>65</v>
      </c>
      <c r="B24" s="17" t="s">
        <v>66</v>
      </c>
      <c r="C24" s="11" t="s">
        <v>67</v>
      </c>
      <c r="D24" s="12"/>
      <c r="E24" s="18" t="n">
        <f aca="false">'Como preencher'!$B$4</f>
        <v>10</v>
      </c>
      <c r="F24" s="14" t="str">
        <f aca="false">IF(OR(D24="",E24=0),"",D24/E24)</f>
        <v/>
      </c>
      <c r="G24" s="19" t="n">
        <f aca="false">'Como preencher'!$B$3</f>
        <v>0.1</v>
      </c>
      <c r="H24" s="14" t="str">
        <f aca="false">IF(D24="","",D24*(1-G24))</f>
        <v/>
      </c>
      <c r="I24" s="16" t="s">
        <v>42</v>
      </c>
      <c r="J24" s="17" t="s">
        <v>53</v>
      </c>
    </row>
    <row r="25" customFormat="false" ht="15" hidden="false" customHeight="false" outlineLevel="0" collapsed="false">
      <c r="A25" s="9" t="s">
        <v>65</v>
      </c>
      <c r="B25" s="17" t="s">
        <v>68</v>
      </c>
      <c r="C25" s="11" t="s">
        <v>69</v>
      </c>
      <c r="D25" s="12"/>
      <c r="E25" s="18" t="n">
        <f aca="false">'Como preencher'!$B$4</f>
        <v>10</v>
      </c>
      <c r="F25" s="14" t="str">
        <f aca="false">IF(OR(D25="",E25=0),"",D25/E25)</f>
        <v/>
      </c>
      <c r="G25" s="19" t="n">
        <f aca="false">'Como preencher'!$B$3</f>
        <v>0.1</v>
      </c>
      <c r="H25" s="14" t="str">
        <f aca="false">IF(D25="","",D25*(1-G25))</f>
        <v/>
      </c>
      <c r="I25" s="16" t="s">
        <v>42</v>
      </c>
      <c r="J25" s="17" t="s">
        <v>53</v>
      </c>
    </row>
    <row r="26" customFormat="false" ht="15" hidden="false" customHeight="false" outlineLevel="0" collapsed="false">
      <c r="A26" s="9" t="s">
        <v>65</v>
      </c>
      <c r="B26" s="17" t="s">
        <v>70</v>
      </c>
      <c r="C26" s="11" t="s">
        <v>64</v>
      </c>
      <c r="D26" s="12"/>
      <c r="E26" s="18" t="n">
        <f aca="false">'Como preencher'!$B$4</f>
        <v>10</v>
      </c>
      <c r="F26" s="14" t="str">
        <f aca="false">IF(OR(D26="",E26=0),"",D26/E26)</f>
        <v/>
      </c>
      <c r="G26" s="19" t="n">
        <f aca="false">'Como preencher'!$B$3</f>
        <v>0.1</v>
      </c>
      <c r="H26" s="14" t="str">
        <f aca="false">IF(D26="","",D26*(1-G26))</f>
        <v/>
      </c>
      <c r="I26" s="16"/>
      <c r="J26" s="17"/>
    </row>
    <row r="27" customFormat="false" ht="15" hidden="false" customHeight="false" outlineLevel="0" collapsed="false">
      <c r="A27" s="9" t="s">
        <v>65</v>
      </c>
      <c r="B27" s="17" t="s">
        <v>71</v>
      </c>
      <c r="C27" s="11" t="s">
        <v>64</v>
      </c>
      <c r="D27" s="12"/>
      <c r="E27" s="18" t="n">
        <f aca="false">'Como preencher'!$B$4</f>
        <v>10</v>
      </c>
      <c r="F27" s="14" t="str">
        <f aca="false">IF(OR(D27="",E27=0),"",D27/E27)</f>
        <v/>
      </c>
      <c r="G27" s="19" t="n">
        <f aca="false">'Como preencher'!$B$3</f>
        <v>0.1</v>
      </c>
      <c r="H27" s="14" t="str">
        <f aca="false">IF(D27="","",D27*(1-G27))</f>
        <v/>
      </c>
      <c r="I27" s="16"/>
      <c r="J27" s="17"/>
    </row>
    <row r="28" customFormat="false" ht="15" hidden="false" customHeight="false" outlineLevel="0" collapsed="false">
      <c r="A28" s="9" t="s">
        <v>65</v>
      </c>
      <c r="B28" s="17" t="s">
        <v>72</v>
      </c>
      <c r="C28" s="11" t="s">
        <v>57</v>
      </c>
      <c r="D28" s="12"/>
      <c r="E28" s="18" t="n">
        <f aca="false">'Como preencher'!$B$4</f>
        <v>10</v>
      </c>
      <c r="F28" s="14" t="str">
        <f aca="false">IF(OR(D28="",E28=0),"",D28/E28)</f>
        <v/>
      </c>
      <c r="G28" s="19" t="n">
        <f aca="false">'Como preencher'!$B$3</f>
        <v>0.1</v>
      </c>
      <c r="H28" s="14" t="str">
        <f aca="false">IF(D28="","",D28*(1-G28))</f>
        <v/>
      </c>
      <c r="I28" s="16"/>
      <c r="J28" s="17"/>
    </row>
    <row r="29" customFormat="false" ht="15" hidden="false" customHeight="false" outlineLevel="0" collapsed="false">
      <c r="A29" s="9" t="s">
        <v>65</v>
      </c>
      <c r="B29" s="17" t="s">
        <v>73</v>
      </c>
      <c r="C29" s="11" t="s">
        <v>57</v>
      </c>
      <c r="D29" s="12"/>
      <c r="E29" s="18" t="n">
        <f aca="false">'Como preencher'!$B$4</f>
        <v>10</v>
      </c>
      <c r="F29" s="14" t="str">
        <f aca="false">IF(OR(D29="",E29=0),"",D29/E29)</f>
        <v/>
      </c>
      <c r="G29" s="19" t="n">
        <f aca="false">'Como preencher'!$B$3</f>
        <v>0.1</v>
      </c>
      <c r="H29" s="14" t="str">
        <f aca="false">IF(D29="","",D29*(1-G29))</f>
        <v/>
      </c>
      <c r="I29" s="16"/>
      <c r="J29" s="17"/>
    </row>
    <row r="30" customFormat="false" ht="15" hidden="false" customHeight="false" outlineLevel="0" collapsed="false">
      <c r="A30" s="9" t="s">
        <v>65</v>
      </c>
      <c r="B30" s="17" t="s">
        <v>74</v>
      </c>
      <c r="C30" s="11" t="s">
        <v>64</v>
      </c>
      <c r="D30" s="12"/>
      <c r="E30" s="18" t="n">
        <f aca="false">'Como preencher'!$B$4</f>
        <v>10</v>
      </c>
      <c r="F30" s="14" t="str">
        <f aca="false">IF(OR(D30="",E30=0),"",D30/E30)</f>
        <v/>
      </c>
      <c r="G30" s="19" t="n">
        <f aca="false">'Como preencher'!$B$3</f>
        <v>0.1</v>
      </c>
      <c r="H30" s="14" t="str">
        <f aca="false">IF(D30="","",D30*(1-G30))</f>
        <v/>
      </c>
      <c r="I30" s="16"/>
      <c r="J30" s="17" t="s">
        <v>75</v>
      </c>
    </row>
    <row r="31" customFormat="false" ht="15" hidden="false" customHeight="false" outlineLevel="0" collapsed="false">
      <c r="A31" s="9" t="s">
        <v>65</v>
      </c>
      <c r="B31" s="17" t="s">
        <v>76</v>
      </c>
      <c r="C31" s="11" t="s">
        <v>64</v>
      </c>
      <c r="D31" s="12"/>
      <c r="E31" s="18" t="n">
        <f aca="false">'Como preencher'!$B$4</f>
        <v>10</v>
      </c>
      <c r="F31" s="14" t="str">
        <f aca="false">IF(OR(D31="",E31=0),"",D31/E31)</f>
        <v/>
      </c>
      <c r="G31" s="19" t="n">
        <f aca="false">'Como preencher'!$B$3</f>
        <v>0.1</v>
      </c>
      <c r="H31" s="14" t="str">
        <f aca="false">IF(D31="","",D31*(1-G31))</f>
        <v/>
      </c>
      <c r="I31" s="16"/>
      <c r="J31" s="17"/>
    </row>
    <row r="32" customFormat="false" ht="15" hidden="false" customHeight="false" outlineLevel="0" collapsed="false">
      <c r="A32" s="9" t="s">
        <v>77</v>
      </c>
      <c r="B32" s="17" t="s">
        <v>78</v>
      </c>
      <c r="C32" s="11" t="s">
        <v>64</v>
      </c>
      <c r="D32" s="12"/>
      <c r="E32" s="18" t="n">
        <f aca="false">'Como preencher'!$B$4</f>
        <v>10</v>
      </c>
      <c r="F32" s="14" t="str">
        <f aca="false">IF(OR(D32="",E32=0),"",D32/E32)</f>
        <v/>
      </c>
      <c r="G32" s="19" t="n">
        <f aca="false">'Como preencher'!$B$3</f>
        <v>0.1</v>
      </c>
      <c r="H32" s="14" t="str">
        <f aca="false">IF(D32="","",D32*(1-G32))</f>
        <v/>
      </c>
      <c r="I32" s="16"/>
      <c r="J32" s="17"/>
    </row>
    <row r="33" customFormat="false" ht="15" hidden="false" customHeight="false" outlineLevel="0" collapsed="false">
      <c r="A33" s="9" t="s">
        <v>77</v>
      </c>
      <c r="B33" s="17" t="s">
        <v>79</v>
      </c>
      <c r="C33" s="11" t="s">
        <v>64</v>
      </c>
      <c r="D33" s="12"/>
      <c r="E33" s="18" t="n">
        <f aca="false">'Como preencher'!$B$4</f>
        <v>10</v>
      </c>
      <c r="F33" s="14" t="str">
        <f aca="false">IF(OR(D33="",E33=0),"",D33/E33)</f>
        <v/>
      </c>
      <c r="G33" s="19" t="n">
        <f aca="false">'Como preencher'!$B$3</f>
        <v>0.1</v>
      </c>
      <c r="H33" s="14" t="str">
        <f aca="false">IF(D33="","",D33*(1-G33))</f>
        <v/>
      </c>
      <c r="I33" s="16"/>
      <c r="J33" s="17"/>
    </row>
    <row r="34" customFormat="false" ht="15" hidden="false" customHeight="false" outlineLevel="0" collapsed="false">
      <c r="A34" s="9" t="s">
        <v>77</v>
      </c>
      <c r="B34" s="17" t="s">
        <v>80</v>
      </c>
      <c r="C34" s="11" t="s">
        <v>64</v>
      </c>
      <c r="D34" s="12"/>
      <c r="E34" s="18" t="n">
        <f aca="false">'Como preencher'!$B$4</f>
        <v>10</v>
      </c>
      <c r="F34" s="14" t="str">
        <f aca="false">IF(OR(D34="",E34=0),"",D34/E34)</f>
        <v/>
      </c>
      <c r="G34" s="19" t="n">
        <f aca="false">'Como preencher'!$B$3</f>
        <v>0.1</v>
      </c>
      <c r="H34" s="14" t="str">
        <f aca="false">IF(D34="","",D34*(1-G34))</f>
        <v/>
      </c>
      <c r="I34" s="16"/>
      <c r="J34" s="17"/>
    </row>
    <row r="35" customFormat="false" ht="15" hidden="false" customHeight="false" outlineLevel="0" collapsed="false">
      <c r="A35" s="9" t="s">
        <v>77</v>
      </c>
      <c r="B35" s="17" t="s">
        <v>81</v>
      </c>
      <c r="C35" s="11" t="s">
        <v>64</v>
      </c>
      <c r="D35" s="12"/>
      <c r="E35" s="18" t="n">
        <f aca="false">'Como preencher'!$B$4</f>
        <v>10</v>
      </c>
      <c r="F35" s="14" t="str">
        <f aca="false">IF(OR(D35="",E35=0),"",D35/E35)</f>
        <v/>
      </c>
      <c r="G35" s="19" t="n">
        <f aca="false">'Como preencher'!$B$3</f>
        <v>0.1</v>
      </c>
      <c r="H35" s="14" t="str">
        <f aca="false">IF(D35="","",D35*(1-G35))</f>
        <v/>
      </c>
      <c r="I35" s="16"/>
      <c r="J35" s="17"/>
    </row>
    <row r="36" customFormat="false" ht="15" hidden="false" customHeight="false" outlineLevel="0" collapsed="false">
      <c r="A36" s="9" t="s">
        <v>77</v>
      </c>
      <c r="B36" s="17" t="s">
        <v>82</v>
      </c>
      <c r="C36" s="11" t="s">
        <v>64</v>
      </c>
      <c r="D36" s="12"/>
      <c r="E36" s="18" t="n">
        <f aca="false">'Como preencher'!$B$4</f>
        <v>10</v>
      </c>
      <c r="F36" s="14" t="str">
        <f aca="false">IF(OR(D36="",E36=0),"",D36/E36)</f>
        <v/>
      </c>
      <c r="G36" s="19" t="n">
        <f aca="false">'Como preencher'!$B$3</f>
        <v>0.1</v>
      </c>
      <c r="H36" s="14" t="str">
        <f aca="false">IF(D36="","",D36*(1-G36))</f>
        <v/>
      </c>
      <c r="I36" s="16"/>
      <c r="J36" s="17"/>
    </row>
    <row r="37" customFormat="false" ht="15" hidden="false" customHeight="false" outlineLevel="0" collapsed="false">
      <c r="A37" s="9" t="s">
        <v>77</v>
      </c>
      <c r="B37" s="17" t="s">
        <v>83</v>
      </c>
      <c r="C37" s="11" t="s">
        <v>84</v>
      </c>
      <c r="D37" s="12"/>
      <c r="E37" s="18" t="n">
        <f aca="false">'Como preencher'!$B$4</f>
        <v>10</v>
      </c>
      <c r="F37" s="14" t="str">
        <f aca="false">IF(OR(D37="",E37=0),"",D37/E37)</f>
        <v/>
      </c>
      <c r="G37" s="19" t="n">
        <f aca="false">'Como preencher'!$B$3</f>
        <v>0.1</v>
      </c>
      <c r="H37" s="14" t="str">
        <f aca="false">IF(D37="","",D37*(1-G37))</f>
        <v/>
      </c>
      <c r="I37" s="16"/>
      <c r="J37" s="17"/>
    </row>
    <row r="38" customFormat="false" ht="15" hidden="false" customHeight="false" outlineLevel="0" collapsed="false">
      <c r="A38" s="9" t="s">
        <v>77</v>
      </c>
      <c r="B38" s="17" t="s">
        <v>85</v>
      </c>
      <c r="C38" s="11" t="s">
        <v>64</v>
      </c>
      <c r="D38" s="12"/>
      <c r="E38" s="18" t="n">
        <f aca="false">'Como preencher'!$B$4</f>
        <v>10</v>
      </c>
      <c r="F38" s="14" t="str">
        <f aca="false">IF(OR(D38="",E38=0),"",D38/E38)</f>
        <v/>
      </c>
      <c r="G38" s="19" t="n">
        <f aca="false">'Como preencher'!$B$3</f>
        <v>0.1</v>
      </c>
      <c r="H38" s="14" t="str">
        <f aca="false">IF(D38="","",D38*(1-G38))</f>
        <v/>
      </c>
      <c r="I38" s="16"/>
      <c r="J38" s="17"/>
    </row>
    <row r="39" customFormat="false" ht="15" hidden="false" customHeight="false" outlineLevel="0" collapsed="false">
      <c r="A39" s="9" t="s">
        <v>86</v>
      </c>
      <c r="B39" s="10" t="s">
        <v>87</v>
      </c>
      <c r="C39" s="11" t="s">
        <v>64</v>
      </c>
      <c r="D39" s="12" t="n">
        <v>150</v>
      </c>
      <c r="E39" s="18" t="n">
        <f aca="false">'Como preencher'!$B$4</f>
        <v>10</v>
      </c>
      <c r="F39" s="14" t="n">
        <f aca="false">IF(OR(D39="",E39=0),"",D39/E39)</f>
        <v>15</v>
      </c>
      <c r="G39" s="19" t="n">
        <f aca="false">'Como preencher'!$B$3</f>
        <v>0.1</v>
      </c>
      <c r="H39" s="14" t="n">
        <f aca="false">IF(D39="","",D39*(1-G39))</f>
        <v>135</v>
      </c>
      <c r="I39" s="16" t="s">
        <v>29</v>
      </c>
      <c r="J39" s="17"/>
    </row>
    <row r="40" customFormat="false" ht="15" hidden="false" customHeight="false" outlineLevel="0" collapsed="false">
      <c r="A40" s="9" t="s">
        <v>86</v>
      </c>
      <c r="B40" s="17" t="s">
        <v>88</v>
      </c>
      <c r="C40" s="11" t="s">
        <v>64</v>
      </c>
      <c r="D40" s="12"/>
      <c r="E40" s="18" t="n">
        <f aca="false">'Como preencher'!$B$4</f>
        <v>10</v>
      </c>
      <c r="F40" s="14" t="str">
        <f aca="false">IF(OR(D40="",E40=0),"",D40/E40)</f>
        <v/>
      </c>
      <c r="G40" s="19" t="n">
        <f aca="false">'Como preencher'!$B$3</f>
        <v>0.1</v>
      </c>
      <c r="H40" s="14" t="str">
        <f aca="false">IF(D40="","",D40*(1-G40))</f>
        <v/>
      </c>
      <c r="I40" s="16"/>
      <c r="J40" s="17"/>
    </row>
    <row r="41" customFormat="false" ht="15" hidden="false" customHeight="false" outlineLevel="0" collapsed="false">
      <c r="A41" s="9" t="s">
        <v>86</v>
      </c>
      <c r="B41" s="17" t="s">
        <v>89</v>
      </c>
      <c r="C41" s="11" t="s">
        <v>64</v>
      </c>
      <c r="D41" s="12"/>
      <c r="E41" s="18" t="n">
        <f aca="false">'Como preencher'!$B$4</f>
        <v>10</v>
      </c>
      <c r="F41" s="14" t="str">
        <f aca="false">IF(OR(D41="",E41=0),"",D41/E41)</f>
        <v/>
      </c>
      <c r="G41" s="19" t="n">
        <f aca="false">'Como preencher'!$B$3</f>
        <v>0.1</v>
      </c>
      <c r="H41" s="14" t="str">
        <f aca="false">IF(D41="","",D41*(1-G41))</f>
        <v/>
      </c>
      <c r="I41" s="16"/>
      <c r="J41" s="17"/>
    </row>
    <row r="42" customFormat="false" ht="15" hidden="false" customHeight="false" outlineLevel="0" collapsed="false">
      <c r="A42" s="9" t="s">
        <v>86</v>
      </c>
      <c r="B42" s="17" t="s">
        <v>90</v>
      </c>
      <c r="C42" s="11" t="s">
        <v>64</v>
      </c>
      <c r="D42" s="12"/>
      <c r="E42" s="18" t="n">
        <f aca="false">'Como preencher'!$B$4</f>
        <v>10</v>
      </c>
      <c r="F42" s="14" t="str">
        <f aca="false">IF(OR(D42="",E42=0),"",D42/E42)</f>
        <v/>
      </c>
      <c r="G42" s="19" t="n">
        <f aca="false">'Como preencher'!$B$3</f>
        <v>0.1</v>
      </c>
      <c r="H42" s="14" t="str">
        <f aca="false">IF(D42="","",D42*(1-G42))</f>
        <v/>
      </c>
      <c r="I42" s="16"/>
      <c r="J42" s="17"/>
    </row>
    <row r="43" customFormat="false" ht="15" hidden="false" customHeight="false" outlineLevel="0" collapsed="false">
      <c r="A43" s="9" t="s">
        <v>86</v>
      </c>
      <c r="B43" s="17" t="s">
        <v>91</v>
      </c>
      <c r="C43" s="11" t="s">
        <v>64</v>
      </c>
      <c r="D43" s="12"/>
      <c r="E43" s="18" t="n">
        <f aca="false">'Como preencher'!$B$4</f>
        <v>10</v>
      </c>
      <c r="F43" s="14" t="str">
        <f aca="false">IF(OR(D43="",E43=0),"",D43/E43)</f>
        <v/>
      </c>
      <c r="G43" s="19" t="n">
        <f aca="false">'Como preencher'!$B$3</f>
        <v>0.1</v>
      </c>
      <c r="H43" s="14" t="str">
        <f aca="false">IF(D43="","",D43*(1-G43))</f>
        <v/>
      </c>
      <c r="I43" s="16"/>
      <c r="J43" s="17"/>
    </row>
    <row r="44" customFormat="false" ht="15" hidden="false" customHeight="false" outlineLevel="0" collapsed="false">
      <c r="A44" s="9" t="s">
        <v>86</v>
      </c>
      <c r="B44" s="17" t="s">
        <v>92</v>
      </c>
      <c r="C44" s="11" t="s">
        <v>64</v>
      </c>
      <c r="D44" s="12"/>
      <c r="E44" s="18" t="n">
        <f aca="false">'Como preencher'!$B$4</f>
        <v>10</v>
      </c>
      <c r="F44" s="14" t="str">
        <f aca="false">IF(OR(D44="",E44=0),"",D44/E44)</f>
        <v/>
      </c>
      <c r="G44" s="19" t="n">
        <f aca="false">'Como preencher'!$B$3</f>
        <v>0.1</v>
      </c>
      <c r="H44" s="14" t="str">
        <f aca="false">IF(D44="","",D44*(1-G44))</f>
        <v/>
      </c>
      <c r="I44" s="16"/>
      <c r="J44" s="17"/>
    </row>
    <row r="45" customFormat="false" ht="15" hidden="false" customHeight="false" outlineLevel="0" collapsed="false">
      <c r="A45" s="9" t="s">
        <v>93</v>
      </c>
      <c r="B45" s="10" t="s">
        <v>94</v>
      </c>
      <c r="C45" s="11" t="s">
        <v>64</v>
      </c>
      <c r="D45" s="12" t="n">
        <v>229</v>
      </c>
      <c r="E45" s="18" t="n">
        <f aca="false">'Como preencher'!$B$4</f>
        <v>10</v>
      </c>
      <c r="F45" s="14" t="n">
        <f aca="false">IF(OR(D45="",E45=0),"",D45/E45)</f>
        <v>22.9</v>
      </c>
      <c r="G45" s="19" t="n">
        <f aca="false">'Como preencher'!$B$3</f>
        <v>0.1</v>
      </c>
      <c r="H45" s="14" t="n">
        <f aca="false">IF(D45="","",D45*(1-G45))</f>
        <v>206.1</v>
      </c>
      <c r="I45" s="16" t="s">
        <v>29</v>
      </c>
      <c r="J45" s="17"/>
    </row>
    <row r="46" customFormat="false" ht="15" hidden="false" customHeight="false" outlineLevel="0" collapsed="false">
      <c r="A46" s="9" t="s">
        <v>93</v>
      </c>
      <c r="B46" s="10" t="s">
        <v>95</v>
      </c>
      <c r="C46" s="11" t="s">
        <v>96</v>
      </c>
      <c r="D46" s="12" t="n">
        <v>1037</v>
      </c>
      <c r="E46" s="18" t="n">
        <f aca="false">'Como preencher'!$B$4</f>
        <v>10</v>
      </c>
      <c r="F46" s="14" t="n">
        <f aca="false">IF(OR(D46="",E46=0),"",D46/E46)</f>
        <v>103.7</v>
      </c>
      <c r="G46" s="19" t="n">
        <f aca="false">'Como preencher'!$B$3</f>
        <v>0.1</v>
      </c>
      <c r="H46" s="14" t="n">
        <f aca="false">IF(D46="","",D46*(1-G46))</f>
        <v>933.3</v>
      </c>
      <c r="I46" s="16" t="s">
        <v>29</v>
      </c>
      <c r="J46" s="17" t="s">
        <v>97</v>
      </c>
    </row>
    <row r="47" customFormat="false" ht="15" hidden="false" customHeight="false" outlineLevel="0" collapsed="false">
      <c r="A47" s="9" t="s">
        <v>93</v>
      </c>
      <c r="B47" s="17" t="s">
        <v>98</v>
      </c>
      <c r="C47" s="11" t="s">
        <v>64</v>
      </c>
      <c r="D47" s="12"/>
      <c r="E47" s="18" t="n">
        <f aca="false">'Como preencher'!$B$4</f>
        <v>10</v>
      </c>
      <c r="F47" s="14" t="str">
        <f aca="false">IF(OR(D47="",E47=0),"",D47/E47)</f>
        <v/>
      </c>
      <c r="G47" s="19" t="n">
        <f aca="false">'Como preencher'!$B$3</f>
        <v>0.1</v>
      </c>
      <c r="H47" s="14" t="str">
        <f aca="false">IF(D47="","",D47*(1-G47))</f>
        <v/>
      </c>
      <c r="I47" s="16"/>
      <c r="J47" s="17"/>
    </row>
    <row r="48" customFormat="false" ht="15" hidden="false" customHeight="false" outlineLevel="0" collapsed="false">
      <c r="A48" s="9" t="s">
        <v>93</v>
      </c>
      <c r="B48" s="17" t="s">
        <v>99</v>
      </c>
      <c r="C48" s="11" t="s">
        <v>52</v>
      </c>
      <c r="D48" s="12"/>
      <c r="E48" s="18" t="n">
        <f aca="false">'Como preencher'!$B$4</f>
        <v>10</v>
      </c>
      <c r="F48" s="14" t="str">
        <f aca="false">IF(OR(D48="",E48=0),"",D48/E48)</f>
        <v/>
      </c>
      <c r="G48" s="19" t="n">
        <f aca="false">'Como preencher'!$B$3</f>
        <v>0.1</v>
      </c>
      <c r="H48" s="14" t="str">
        <f aca="false">IF(D48="","",D48*(1-G48))</f>
        <v/>
      </c>
      <c r="I48" s="16" t="s">
        <v>42</v>
      </c>
      <c r="J48" s="17" t="s">
        <v>53</v>
      </c>
    </row>
    <row r="49" customFormat="false" ht="15" hidden="false" customHeight="false" outlineLevel="0" collapsed="false">
      <c r="A49" s="9" t="s">
        <v>93</v>
      </c>
      <c r="B49" s="17" t="s">
        <v>100</v>
      </c>
      <c r="C49" s="11" t="s">
        <v>64</v>
      </c>
      <c r="D49" s="12"/>
      <c r="E49" s="18" t="n">
        <f aca="false">'Como preencher'!$B$4</f>
        <v>10</v>
      </c>
      <c r="F49" s="14" t="str">
        <f aca="false">IF(OR(D49="",E49=0),"",D49/E49)</f>
        <v/>
      </c>
      <c r="G49" s="19" t="n">
        <f aca="false">'Como preencher'!$B$3</f>
        <v>0.1</v>
      </c>
      <c r="H49" s="14" t="str">
        <f aca="false">IF(D49="","",D49*(1-G49))</f>
        <v/>
      </c>
      <c r="I49" s="16"/>
      <c r="J49" s="17"/>
    </row>
    <row r="50" customFormat="false" ht="15" hidden="false" customHeight="false" outlineLevel="0" collapsed="false">
      <c r="A50" s="9" t="s">
        <v>93</v>
      </c>
      <c r="B50" s="17" t="s">
        <v>101</v>
      </c>
      <c r="C50" s="11" t="s">
        <v>64</v>
      </c>
      <c r="D50" s="12"/>
      <c r="E50" s="18" t="n">
        <f aca="false">'Como preencher'!$B$4</f>
        <v>10</v>
      </c>
      <c r="F50" s="14" t="str">
        <f aca="false">IF(OR(D50="",E50=0),"",D50/E50)</f>
        <v/>
      </c>
      <c r="G50" s="19" t="n">
        <f aca="false">'Como preencher'!$B$3</f>
        <v>0.1</v>
      </c>
      <c r="H50" s="14" t="str">
        <f aca="false">IF(D50="","",D50*(1-G50))</f>
        <v/>
      </c>
      <c r="I50" s="16"/>
      <c r="J50" s="17"/>
    </row>
    <row r="51" customFormat="false" ht="15" hidden="false" customHeight="false" outlineLevel="0" collapsed="false">
      <c r="A51" s="9" t="s">
        <v>93</v>
      </c>
      <c r="B51" s="17" t="s">
        <v>102</v>
      </c>
      <c r="C51" s="11" t="s">
        <v>64</v>
      </c>
      <c r="D51" s="12"/>
      <c r="E51" s="18" t="n">
        <f aca="false">'Como preencher'!$B$4</f>
        <v>10</v>
      </c>
      <c r="F51" s="14" t="str">
        <f aca="false">IF(OR(D51="",E51=0),"",D51/E51)</f>
        <v/>
      </c>
      <c r="G51" s="19" t="n">
        <f aca="false">'Como preencher'!$B$3</f>
        <v>0.1</v>
      </c>
      <c r="H51" s="14" t="str">
        <f aca="false">IF(D51="","",D51*(1-G51))</f>
        <v/>
      </c>
      <c r="I51" s="16"/>
      <c r="J51" s="17"/>
    </row>
    <row r="52" customFormat="false" ht="15" hidden="false" customHeight="false" outlineLevel="0" collapsed="false">
      <c r="A52" s="9" t="s">
        <v>93</v>
      </c>
      <c r="B52" s="17" t="s">
        <v>103</v>
      </c>
      <c r="C52" s="11" t="s">
        <v>64</v>
      </c>
      <c r="D52" s="12"/>
      <c r="E52" s="18" t="n">
        <f aca="false">'Como preencher'!$B$4</f>
        <v>10</v>
      </c>
      <c r="F52" s="14" t="str">
        <f aca="false">IF(OR(D52="",E52=0),"",D52/E52)</f>
        <v/>
      </c>
      <c r="G52" s="19" t="n">
        <f aca="false">'Como preencher'!$B$3</f>
        <v>0.1</v>
      </c>
      <c r="H52" s="14" t="str">
        <f aca="false">IF(D52="","",D52*(1-G52))</f>
        <v/>
      </c>
      <c r="I52" s="16"/>
      <c r="J52" s="17"/>
    </row>
    <row r="53" customFormat="false" ht="15" hidden="false" customHeight="false" outlineLevel="0" collapsed="false">
      <c r="A53" s="9" t="s">
        <v>93</v>
      </c>
      <c r="B53" s="17" t="s">
        <v>104</v>
      </c>
      <c r="C53" s="11" t="s">
        <v>64</v>
      </c>
      <c r="D53" s="12"/>
      <c r="E53" s="18" t="n">
        <f aca="false">'Como preencher'!$B$4</f>
        <v>10</v>
      </c>
      <c r="F53" s="14" t="str">
        <f aca="false">IF(OR(D53="",E53=0),"",D53/E53)</f>
        <v/>
      </c>
      <c r="G53" s="19" t="n">
        <f aca="false">'Como preencher'!$B$3</f>
        <v>0.1</v>
      </c>
      <c r="H53" s="14" t="str">
        <f aca="false">IF(D53="","",D53*(1-G53))</f>
        <v/>
      </c>
      <c r="I53" s="16"/>
      <c r="J53" s="17"/>
    </row>
    <row r="54" customFormat="false" ht="15" hidden="false" customHeight="false" outlineLevel="0" collapsed="false">
      <c r="A54" s="9" t="s">
        <v>93</v>
      </c>
      <c r="B54" s="17" t="s">
        <v>105</v>
      </c>
      <c r="C54" s="11" t="s">
        <v>64</v>
      </c>
      <c r="D54" s="12"/>
      <c r="E54" s="18" t="n">
        <f aca="false">'Como preencher'!$B$4</f>
        <v>10</v>
      </c>
      <c r="F54" s="14" t="str">
        <f aca="false">IF(OR(D54="",E54=0),"",D54/E54)</f>
        <v/>
      </c>
      <c r="G54" s="19" t="n">
        <f aca="false">'Como preencher'!$B$3</f>
        <v>0.1</v>
      </c>
      <c r="H54" s="14" t="str">
        <f aca="false">IF(D54="","",D54*(1-G54))</f>
        <v/>
      </c>
      <c r="I54" s="16"/>
      <c r="J54" s="17"/>
    </row>
    <row r="55" customFormat="false" ht="15" hidden="false" customHeight="false" outlineLevel="0" collapsed="false">
      <c r="A55" s="9" t="s">
        <v>93</v>
      </c>
      <c r="B55" s="17" t="s">
        <v>106</v>
      </c>
      <c r="C55" s="11" t="s">
        <v>64</v>
      </c>
      <c r="D55" s="12"/>
      <c r="E55" s="18" t="n">
        <f aca="false">'Como preencher'!$B$4</f>
        <v>10</v>
      </c>
      <c r="F55" s="14" t="str">
        <f aca="false">IF(OR(D55="",E55=0),"",D55/E55)</f>
        <v/>
      </c>
      <c r="G55" s="19" t="n">
        <f aca="false">'Como preencher'!$B$3</f>
        <v>0.1</v>
      </c>
      <c r="H55" s="14" t="str">
        <f aca="false">IF(D55="","",D55*(1-G55))</f>
        <v/>
      </c>
      <c r="I55" s="16"/>
      <c r="J55" s="17"/>
    </row>
    <row r="56" customFormat="false" ht="15" hidden="false" customHeight="false" outlineLevel="0" collapsed="false">
      <c r="A56" s="9" t="s">
        <v>107</v>
      </c>
      <c r="B56" s="17" t="s">
        <v>108</v>
      </c>
      <c r="C56" s="11" t="s">
        <v>64</v>
      </c>
      <c r="D56" s="12"/>
      <c r="E56" s="18" t="n">
        <f aca="false">'Como preencher'!$B$4</f>
        <v>10</v>
      </c>
      <c r="F56" s="14" t="str">
        <f aca="false">IF(OR(D56="",E56=0),"",D56/E56)</f>
        <v/>
      </c>
      <c r="G56" s="19" t="n">
        <f aca="false">'Como preencher'!$B$3</f>
        <v>0.1</v>
      </c>
      <c r="H56" s="14" t="str">
        <f aca="false">IF(D56="","",D56*(1-G56))</f>
        <v/>
      </c>
      <c r="I56" s="16"/>
      <c r="J56" s="17"/>
    </row>
    <row r="57" customFormat="false" ht="15" hidden="false" customHeight="false" outlineLevel="0" collapsed="false">
      <c r="A57" s="9" t="s">
        <v>107</v>
      </c>
      <c r="B57" s="17" t="s">
        <v>109</v>
      </c>
      <c r="C57" s="11" t="s">
        <v>64</v>
      </c>
      <c r="D57" s="12"/>
      <c r="E57" s="18" t="n">
        <f aca="false">'Como preencher'!$B$4</f>
        <v>10</v>
      </c>
      <c r="F57" s="14" t="str">
        <f aca="false">IF(OR(D57="",E57=0),"",D57/E57)</f>
        <v/>
      </c>
      <c r="G57" s="19" t="n">
        <f aca="false">'Como preencher'!$B$3</f>
        <v>0.1</v>
      </c>
      <c r="H57" s="14" t="str">
        <f aca="false">IF(D57="","",D57*(1-G57))</f>
        <v/>
      </c>
      <c r="I57" s="16"/>
      <c r="J57" s="17"/>
    </row>
    <row r="58" customFormat="false" ht="15" hidden="false" customHeight="false" outlineLevel="0" collapsed="false">
      <c r="A58" s="9" t="s">
        <v>107</v>
      </c>
      <c r="B58" s="17" t="s">
        <v>110</v>
      </c>
      <c r="C58" s="11" t="s">
        <v>64</v>
      </c>
      <c r="D58" s="12"/>
      <c r="E58" s="18" t="n">
        <f aca="false">'Como preencher'!$B$4</f>
        <v>10</v>
      </c>
      <c r="F58" s="14" t="str">
        <f aca="false">IF(OR(D58="",E58=0),"",D58/E58)</f>
        <v/>
      </c>
      <c r="G58" s="19" t="n">
        <f aca="false">'Como preencher'!$B$3</f>
        <v>0.1</v>
      </c>
      <c r="H58" s="14" t="str">
        <f aca="false">IF(D58="","",D58*(1-G58))</f>
        <v/>
      </c>
      <c r="I58" s="16"/>
      <c r="J58" s="17"/>
    </row>
    <row r="59" customFormat="false" ht="15" hidden="false" customHeight="false" outlineLevel="0" collapsed="false">
      <c r="A59" s="9" t="s">
        <v>107</v>
      </c>
      <c r="B59" s="17" t="s">
        <v>111</v>
      </c>
      <c r="C59" s="11" t="s">
        <v>64</v>
      </c>
      <c r="D59" s="12"/>
      <c r="E59" s="18" t="n">
        <f aca="false">'Como preencher'!$B$4</f>
        <v>10</v>
      </c>
      <c r="F59" s="14" t="str">
        <f aca="false">IF(OR(D59="",E59=0),"",D59/E59)</f>
        <v/>
      </c>
      <c r="G59" s="19" t="n">
        <f aca="false">'Como preencher'!$B$3</f>
        <v>0.1</v>
      </c>
      <c r="H59" s="14" t="str">
        <f aca="false">IF(D59="","",D59*(1-G59))</f>
        <v/>
      </c>
      <c r="I59" s="16"/>
      <c r="J59" s="17"/>
    </row>
    <row r="60" customFormat="false" ht="15" hidden="false" customHeight="false" outlineLevel="0" collapsed="false">
      <c r="A60" s="9" t="s">
        <v>107</v>
      </c>
      <c r="B60" s="17" t="s">
        <v>112</v>
      </c>
      <c r="C60" s="11" t="s">
        <v>64</v>
      </c>
      <c r="D60" s="12"/>
      <c r="E60" s="18" t="n">
        <f aca="false">'Como preencher'!$B$4</f>
        <v>10</v>
      </c>
      <c r="F60" s="14" t="str">
        <f aca="false">IF(OR(D60="",E60=0),"",D60/E60)</f>
        <v/>
      </c>
      <c r="G60" s="19" t="n">
        <f aca="false">'Como preencher'!$B$3</f>
        <v>0.1</v>
      </c>
      <c r="H60" s="14" t="str">
        <f aca="false">IF(D60="","",D60*(1-G60))</f>
        <v/>
      </c>
      <c r="I60" s="16"/>
      <c r="J60" s="17"/>
    </row>
    <row r="61" customFormat="false" ht="15" hidden="false" customHeight="false" outlineLevel="0" collapsed="false">
      <c r="A61" s="9" t="s">
        <v>107</v>
      </c>
      <c r="B61" s="17" t="s">
        <v>113</v>
      </c>
      <c r="C61" s="11" t="s">
        <v>64</v>
      </c>
      <c r="D61" s="12"/>
      <c r="E61" s="18" t="n">
        <f aca="false">'Como preencher'!$B$4</f>
        <v>10</v>
      </c>
      <c r="F61" s="14" t="str">
        <f aca="false">IF(OR(D61="",E61=0),"",D61/E61)</f>
        <v/>
      </c>
      <c r="G61" s="19" t="n">
        <f aca="false">'Como preencher'!$B$3</f>
        <v>0.1</v>
      </c>
      <c r="H61" s="14" t="str">
        <f aca="false">IF(D61="","",D61*(1-G61))</f>
        <v/>
      </c>
      <c r="I61" s="16"/>
      <c r="J61" s="17"/>
    </row>
  </sheetData>
  <autoFilter ref="A4:J61"/>
  <dataValidations count="1">
    <dataValidation allowBlank="true" errorStyle="stop" operator="between" showDropDown="false" showErrorMessage="false" showInputMessage="false" sqref="I5:I61" type="list">
      <formula1>"Sim,Só na avaliação,Não fazemos"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2026-10-28T11:49:23Z</dcterms:created>
  <dc:creator>openpyxl</dc:creator>
  <dc:description/>
  <dc:language>en-US</dc:language>
  <cp:lastModifiedBy/>
  <dcterms:modified xsi:type="dcterms:W3CDTF">2026-10-28T11:49:23Z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